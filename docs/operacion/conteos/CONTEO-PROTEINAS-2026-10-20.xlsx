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o 20-oct" sheetId="1" state="visible" r:id="rId1"/>
  </sheets>
  <definedNames>
    <definedName name="_xlnm.Print_Titles" localSheetId="0">'Conteo 20-oct'!$4:$4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6F50"/>
      </patternFill>
    </fill>
    <fill>
      <patternFill patternType="solid">
        <fgColor rgb="00E3EFE8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0" customWidth="1" min="3" max="3"/>
    <col width="10" customWidth="1" min="4" max="4"/>
    <col width="7" customWidth="1" min="5" max="5"/>
    <col width="9" customWidth="1" min="6" max="6"/>
    <col width="11" customWidth="1" min="7" max="7"/>
  </cols>
  <sheetData>
    <row r="1">
      <c r="A1" s="1" t="inlineStr">
        <is>
          <t>Conteo de proteínas · Tienda · existencias del sistema al 19-10-2026 08:42 PM</t>
        </is>
      </c>
    </row>
    <row r="2">
      <c r="A2" s="2" t="inlineStr">
        <is>
          <t>Escribe lo que cuentas en la columna «Físico». Las ventas hechas después de esta hora se restan al comparar.</t>
        </is>
      </c>
    </row>
    <row r="4">
      <c r="A4" s="3" t="inlineStr">
        <is>
          <t>Marca</t>
        </is>
      </c>
      <c r="B4" s="3" t="inlineStr">
        <is>
          <t>SKU</t>
        </is>
      </c>
      <c r="C4" s="3" t="inlineStr">
        <is>
          <t>Producto</t>
        </is>
      </c>
      <c r="D4" s="3" t="inlineStr">
        <is>
          <t>Sistema (Tienda)</t>
        </is>
      </c>
      <c r="E4" s="3" t="inlineStr">
        <is>
          <t>Casa</t>
        </is>
      </c>
      <c r="F4" s="3" t="inlineStr">
        <is>
          <t>Físico</t>
        </is>
      </c>
      <c r="G4" s="3" t="inlineStr">
        <is>
          <t>Diferencia</t>
        </is>
      </c>
    </row>
    <row r="5">
      <c r="A5" s="4" t="inlineStr">
        <is>
          <t>ISO100 (Dymatize)</t>
        </is>
      </c>
      <c r="B5" s="5" t="n"/>
      <c r="C5" s="5" t="n"/>
      <c r="D5" s="5" t="n"/>
      <c r="E5" s="5" t="n"/>
      <c r="F5" s="5" t="n"/>
      <c r="G5" s="5" t="n"/>
    </row>
    <row r="6">
      <c r="A6" s="6" t="inlineStr"/>
      <c r="B6" s="6" t="inlineStr">
        <is>
          <t>1165</t>
        </is>
      </c>
      <c r="C6" s="6" t="inlineStr">
        <is>
          <t>ISO100 Hydrolyzed - Dymatize - Chocolate Peanut Butter / 1.34 lb</t>
        </is>
      </c>
      <c r="D6" s="6" t="n">
        <v>0</v>
      </c>
      <c r="E6" s="6" t="n">
        <v>0</v>
      </c>
      <c r="F6" s="7" t="n"/>
      <c r="G6" s="6">
        <f>IF(F6="","",F6-D6)</f>
        <v/>
      </c>
    </row>
    <row r="7">
      <c r="A7" s="6" t="inlineStr"/>
      <c r="B7" s="6" t="inlineStr">
        <is>
          <t>1159</t>
        </is>
      </c>
      <c r="C7" s="6" t="inlineStr">
        <is>
          <t>ISO100 Hydrolyzed - Dymatize - Cookies &amp; Cream / 5 lb</t>
        </is>
      </c>
      <c r="D7" s="6" t="n">
        <v>0</v>
      </c>
      <c r="E7" s="6" t="n">
        <v>0</v>
      </c>
      <c r="F7" s="7" t="n"/>
      <c r="G7" s="6">
        <f>IF(F7="","",F7-D7)</f>
        <v/>
      </c>
    </row>
    <row r="8">
      <c r="A8" s="6" t="inlineStr"/>
      <c r="B8" s="6" t="inlineStr">
        <is>
          <t>1166</t>
        </is>
      </c>
      <c r="C8" s="6" t="inlineStr">
        <is>
          <t>ISO100 Hydrolyzed - Dymatize - Dunkin Cappuccino / 1.34 lb</t>
        </is>
      </c>
      <c r="D8" s="6" t="n">
        <v>0</v>
      </c>
      <c r="E8" s="6" t="n">
        <v>0</v>
      </c>
      <c r="F8" s="7" t="n"/>
      <c r="G8" s="6">
        <f>IF(F8="","",F8-D8)</f>
        <v/>
      </c>
    </row>
    <row r="9">
      <c r="A9" s="6" t="inlineStr"/>
      <c r="B9" s="6" t="inlineStr">
        <is>
          <t>1167</t>
        </is>
      </c>
      <c r="C9" s="6" t="inlineStr">
        <is>
          <t>ISO100 Hydrolyzed - Dymatize - Dunkin Mocha Latte / 1.34 lb</t>
        </is>
      </c>
      <c r="D9" s="6" t="n">
        <v>0</v>
      </c>
      <c r="E9" s="6" t="n">
        <v>0</v>
      </c>
      <c r="F9" s="7" t="n"/>
      <c r="G9" s="6">
        <f>IF(F9="","",F9-D9)</f>
        <v/>
      </c>
    </row>
    <row r="10">
      <c r="A10" s="6" t="inlineStr"/>
      <c r="B10" s="6" t="inlineStr">
        <is>
          <t>1170</t>
        </is>
      </c>
      <c r="C10" s="6" t="inlineStr">
        <is>
          <t>ISO100 Hydrolyzed - Dymatize - Fruity Pebbles / 3 lb</t>
        </is>
      </c>
      <c r="D10" s="6" t="n">
        <v>0</v>
      </c>
      <c r="E10" s="6" t="n">
        <v>0</v>
      </c>
      <c r="F10" s="7" t="n"/>
      <c r="G10" s="6">
        <f>IF(F10="","",F10-D10)</f>
        <v/>
      </c>
    </row>
    <row r="11">
      <c r="A11" s="6" t="inlineStr"/>
      <c r="B11" s="6" t="inlineStr">
        <is>
          <t>1168</t>
        </is>
      </c>
      <c r="C11" s="6" t="inlineStr">
        <is>
          <t>ISO100 Hydrolyzed - Dymatize - Fruity Pebbles Birthday Cake / 1.34 lb</t>
        </is>
      </c>
      <c r="D11" s="6" t="n">
        <v>1</v>
      </c>
      <c r="E11" s="6" t="n">
        <v>0</v>
      </c>
      <c r="F11" s="7" t="n"/>
      <c r="G11" s="6">
        <f>IF(F11="","",F11-D11)</f>
        <v/>
      </c>
    </row>
    <row r="12">
      <c r="A12" s="6" t="inlineStr"/>
      <c r="B12" s="6" t="inlineStr">
        <is>
          <t>1161</t>
        </is>
      </c>
      <c r="C12" s="6" t="inlineStr">
        <is>
          <t>ISO100 Hydrolyzed - Dymatize - Fruity Pebbles Birthday Cake / 5 lb</t>
        </is>
      </c>
      <c r="D12" s="6" t="n">
        <v>1</v>
      </c>
      <c r="E12" s="6" t="n">
        <v>0</v>
      </c>
      <c r="F12" s="7" t="n"/>
      <c r="G12" s="6">
        <f>IF(F12="","",F12-D12)</f>
        <v/>
      </c>
    </row>
    <row r="13">
      <c r="A13" s="6" t="inlineStr"/>
      <c r="B13" s="6" t="inlineStr">
        <is>
          <t>1160</t>
        </is>
      </c>
      <c r="C13" s="6" t="inlineStr">
        <is>
          <t>ISO100 Hydrolyzed - Dymatize - Fudge Brownie / 5 lb</t>
        </is>
      </c>
      <c r="D13" s="6" t="n">
        <v>0</v>
      </c>
      <c r="E13" s="6" t="n">
        <v>0</v>
      </c>
      <c r="F13" s="7" t="n"/>
      <c r="G13" s="6">
        <f>IF(F13="","",F13-D13)</f>
        <v/>
      </c>
    </row>
    <row r="14">
      <c r="A14" s="6" t="inlineStr"/>
      <c r="B14" s="6" t="inlineStr">
        <is>
          <t>1628</t>
        </is>
      </c>
      <c r="C14" s="6" t="inlineStr">
        <is>
          <t>ISO100 HYDROLYZED - DYMATIZE - FUDGE BROWNIE /3 LB</t>
        </is>
      </c>
      <c r="D14" s="6" t="n">
        <v>0</v>
      </c>
      <c r="E14" s="6" t="n">
        <v>0</v>
      </c>
      <c r="F14" s="7" t="n"/>
      <c r="G14" s="6">
        <f>IF(F14="","",F14-D14)</f>
        <v/>
      </c>
    </row>
    <row r="15">
      <c r="A15" s="6" t="inlineStr"/>
      <c r="B15" s="6" t="inlineStr">
        <is>
          <t>1164</t>
        </is>
      </c>
      <c r="C15" s="6" t="inlineStr">
        <is>
          <t>ISO100 Hydrolyzed - Dymatize - Gourmet Chocolate / 1.34 lb</t>
        </is>
      </c>
      <c r="D15" s="6" t="n">
        <v>1</v>
      </c>
      <c r="E15" s="6" t="n">
        <v>0</v>
      </c>
      <c r="F15" s="7" t="n"/>
      <c r="G15" s="6">
        <f>IF(F15="","",F15-D15)</f>
        <v/>
      </c>
    </row>
    <row r="16">
      <c r="A16" s="6" t="inlineStr"/>
      <c r="B16" s="6" t="inlineStr">
        <is>
          <t>1935</t>
        </is>
      </c>
      <c r="C16" s="6" t="inlineStr">
        <is>
          <t>ISO100 Hydrolyzed - Dymatize - Gourmet Chocolate / 5 lb</t>
        </is>
      </c>
      <c r="D16" s="6" t="n">
        <v>1</v>
      </c>
      <c r="E16" s="6" t="n">
        <v>0</v>
      </c>
      <c r="F16" s="7" t="n"/>
      <c r="G16" s="6">
        <f>IF(F16="","",F16-D16)</f>
        <v/>
      </c>
    </row>
    <row r="17">
      <c r="A17" s="6" t="inlineStr"/>
      <c r="B17" s="6" t="inlineStr">
        <is>
          <t>1169</t>
        </is>
      </c>
      <c r="C17" s="6" t="inlineStr">
        <is>
          <t>ISO100 Hydrolyzed - Dymatize - Gourmet Vanilla / 3 lb</t>
        </is>
      </c>
      <c r="D17" s="6" t="n">
        <v>6</v>
      </c>
      <c r="E17" s="6" t="n">
        <v>0</v>
      </c>
      <c r="F17" s="7" t="n"/>
      <c r="G17" s="6">
        <f>IF(F17="","",F17-D17)</f>
        <v/>
      </c>
    </row>
    <row r="18">
      <c r="A18" s="6" t="inlineStr"/>
      <c r="B18" s="6" t="inlineStr">
        <is>
          <t>1158</t>
        </is>
      </c>
      <c r="C18" s="6" t="inlineStr">
        <is>
          <t>ISO100 Hydrolyzed - Dymatize - Gourmet Vanilla / 5 lb</t>
        </is>
      </c>
      <c r="D18" s="6" t="n">
        <v>1</v>
      </c>
      <c r="E18" s="6" t="n">
        <v>0</v>
      </c>
      <c r="F18" s="7" t="n"/>
      <c r="G18" s="6">
        <f>IF(F18="","",F18-D18)</f>
        <v/>
      </c>
    </row>
    <row r="19">
      <c r="A19" s="6" t="inlineStr"/>
      <c r="B19" s="6" t="inlineStr">
        <is>
          <t>1629</t>
        </is>
      </c>
      <c r="C19" s="6" t="inlineStr">
        <is>
          <t>ISO100 HYDROLYZED - DYMATIZE - MINT CHOCOLATE CHIP / 1.34 LB</t>
        </is>
      </c>
      <c r="D19" s="6" t="n">
        <v>5</v>
      </c>
      <c r="E19" s="6" t="n">
        <v>0</v>
      </c>
      <c r="F19" s="7" t="n"/>
      <c r="G19" s="6">
        <f>IF(F19="","",F19-D19)</f>
        <v/>
      </c>
    </row>
    <row r="20">
      <c r="A20" s="6" t="inlineStr"/>
      <c r="B20" s="6" t="inlineStr">
        <is>
          <t>1162</t>
        </is>
      </c>
      <c r="C20" s="6" t="inlineStr">
        <is>
          <t>ISO100 Hydrolyzed - Dymatize - Strawberry / 1.34 lb</t>
        </is>
      </c>
      <c r="D20" s="6" t="n">
        <v>1</v>
      </c>
      <c r="E20" s="6" t="n">
        <v>0</v>
      </c>
      <c r="F20" s="7" t="n"/>
      <c r="G20" s="6">
        <f>IF(F20="","",F20-D20)</f>
        <v/>
      </c>
    </row>
    <row r="21">
      <c r="A21" s="6" t="inlineStr"/>
      <c r="B21" s="6" t="inlineStr">
        <is>
          <t>1163</t>
        </is>
      </c>
      <c r="C21" s="6" t="inlineStr">
        <is>
          <t>ISO100 Hydrolyzed - Dymatize - Vanilla / 1.34 lb</t>
        </is>
      </c>
      <c r="D21" s="6" t="n">
        <v>1</v>
      </c>
      <c r="E21" s="6" t="n">
        <v>0</v>
      </c>
      <c r="F21" s="7" t="n"/>
      <c r="G21" s="6">
        <f>IF(F21="","",F21-D21)</f>
        <v/>
      </c>
    </row>
    <row r="22">
      <c r="A22" s="4" t="inlineStr">
        <is>
          <t>Optimum Nutrition</t>
        </is>
      </c>
      <c r="B22" s="5" t="n"/>
      <c r="C22" s="5" t="n"/>
      <c r="D22" s="5" t="n"/>
      <c r="E22" s="5" t="n"/>
      <c r="F22" s="5" t="n"/>
      <c r="G22" s="5" t="n"/>
    </row>
    <row r="23">
      <c r="A23" s="6" t="inlineStr"/>
      <c r="B23" s="6" t="inlineStr">
        <is>
          <t>1148</t>
        </is>
      </c>
      <c r="C23" s="6" t="inlineStr">
        <is>
          <t>Gold Standard 100% Casein - Optimum Nutrition - Chocolate Supreme</t>
        </is>
      </c>
      <c r="D23" s="6" t="n">
        <v>1</v>
      </c>
      <c r="E23" s="6" t="n">
        <v>0</v>
      </c>
      <c r="F23" s="7" t="n"/>
      <c r="G23" s="6">
        <f>IF(F23="","",F23-D23)</f>
        <v/>
      </c>
    </row>
    <row r="24">
      <c r="A24" s="6" t="inlineStr"/>
      <c r="B24" s="6" t="inlineStr">
        <is>
          <t>1176</t>
        </is>
      </c>
      <c r="C24" s="6" t="inlineStr">
        <is>
          <t>Gold Standard 100% Isolate - Optimum Nutrition - Rich Vanilla / 2.91 lb</t>
        </is>
      </c>
      <c r="D24" s="6" t="n">
        <v>8</v>
      </c>
      <c r="E24" s="6" t="n">
        <v>0</v>
      </c>
      <c r="F24" s="7" t="n"/>
      <c r="G24" s="6">
        <f>IF(F24="","",F24-D24)</f>
        <v/>
      </c>
    </row>
    <row r="25">
      <c r="A25" s="6" t="inlineStr"/>
      <c r="B25" s="6" t="inlineStr">
        <is>
          <t>1180</t>
        </is>
      </c>
      <c r="C25" s="6" t="inlineStr">
        <is>
          <t>Gold Standard 100% Whey - Optimum Nutrition - Double Rich Chocolate / 2 lb</t>
        </is>
      </c>
      <c r="D25" s="6" t="n">
        <v>0</v>
      </c>
      <c r="E25" s="6" t="n">
        <v>0</v>
      </c>
      <c r="F25" s="7" t="n"/>
      <c r="G25" s="6">
        <f>IF(F25="","",F25-D25)</f>
        <v/>
      </c>
    </row>
    <row r="26">
      <c r="A26" s="6" t="inlineStr"/>
      <c r="B26" s="6" t="inlineStr">
        <is>
          <t>1179</t>
        </is>
      </c>
      <c r="C26" s="6" t="inlineStr">
        <is>
          <t>Gold Standard 100% Whey - Optimum Nutrition - French Vanilla Creme / 2 lb</t>
        </is>
      </c>
      <c r="D26" s="6" t="n">
        <v>0</v>
      </c>
      <c r="E26" s="6" t="n">
        <v>0</v>
      </c>
      <c r="F26" s="7" t="n"/>
      <c r="G26" s="6">
        <f>IF(F26="","",F26-D26)</f>
        <v/>
      </c>
    </row>
    <row r="27">
      <c r="A27" s="6" t="inlineStr"/>
      <c r="B27" s="6" t="inlineStr">
        <is>
          <t>1147</t>
        </is>
      </c>
      <c r="C27" s="6" t="inlineStr">
        <is>
          <t>Gold Standard 100% Whey - Optimum Nutrition - Naturally Flavored Vanilla / 2 lb</t>
        </is>
      </c>
      <c r="D27" s="6" t="n">
        <v>6</v>
      </c>
      <c r="E27" s="6" t="n">
        <v>0</v>
      </c>
      <c r="F27" s="7" t="n"/>
      <c r="G27" s="6">
        <f>IF(F27="","",F27-D27)</f>
        <v/>
      </c>
    </row>
    <row r="28">
      <c r="A28" s="6" t="inlineStr"/>
      <c r="B28" s="6" t="inlineStr">
        <is>
          <t>1216</t>
        </is>
      </c>
      <c r="C28" s="6" t="inlineStr">
        <is>
          <t>GOLD STANDARD 100% WHEY - OPTIMUM NUTRITION - STRAWBERRY / 2 LB</t>
        </is>
      </c>
      <c r="D28" s="6" t="n">
        <v>0</v>
      </c>
      <c r="E28" s="6" t="n">
        <v>0</v>
      </c>
      <c r="F28" s="7" t="n"/>
      <c r="G28" s="6">
        <f>IF(F28="","",F28-D28)</f>
        <v/>
      </c>
    </row>
    <row r="29">
      <c r="A29" s="6" t="inlineStr"/>
      <c r="B29" s="6" t="inlineStr">
        <is>
          <t>1205</t>
        </is>
      </c>
      <c r="C29" s="6" t="inlineStr">
        <is>
          <t>Gold Standard 100% Whey - Optimum Nutrition - Vanilla / 2 lb</t>
        </is>
      </c>
      <c r="D29" s="6" t="n">
        <v>0</v>
      </c>
      <c r="E29" s="6" t="n">
        <v>0</v>
      </c>
      <c r="F29" s="7" t="n"/>
      <c r="G29" s="6">
        <f>IF(F29="","",F29-D29)</f>
        <v/>
      </c>
    </row>
    <row r="30">
      <c r="A30" s="6" t="inlineStr"/>
      <c r="B30" s="6" t="inlineStr">
        <is>
          <t>1181</t>
        </is>
      </c>
      <c r="C30" s="6" t="inlineStr">
        <is>
          <t>Gold Standard 100% Whey - Optimum Nutrition - Vanilla Ice Cream / 1.5 lb (bolsa)</t>
        </is>
      </c>
      <c r="D30" s="6" t="n">
        <v>0</v>
      </c>
      <c r="E30" s="6" t="n">
        <v>0</v>
      </c>
      <c r="F30" s="7" t="n"/>
      <c r="G30" s="6">
        <f>IF(F30="","",F30-D30)</f>
        <v/>
      </c>
    </row>
    <row r="31">
      <c r="A31" s="6" t="inlineStr"/>
      <c r="B31" s="6" t="inlineStr">
        <is>
          <t>1178</t>
        </is>
      </c>
      <c r="C31" s="6" t="inlineStr">
        <is>
          <t>Gold Standard 100% Whey - Optimum Nutrition - Vanilla Ice Cream / 2 lb</t>
        </is>
      </c>
      <c r="D31" s="6" t="n">
        <v>2</v>
      </c>
      <c r="E31" s="6" t="n">
        <v>0</v>
      </c>
      <c r="F31" s="7" t="n"/>
      <c r="G31" s="6">
        <f>IF(F31="","",F31-D31)</f>
        <v/>
      </c>
    </row>
    <row r="32">
      <c r="A32" s="6" t="inlineStr"/>
      <c r="B32" s="6" t="inlineStr">
        <is>
          <t>1177</t>
        </is>
      </c>
      <c r="C32" s="6" t="inlineStr">
        <is>
          <t>Gold Standard 100% Whey - Optimum Nutrition - Vanilla Ice Cream / 5 lb</t>
        </is>
      </c>
      <c r="D32" s="6" t="n">
        <v>15</v>
      </c>
      <c r="E32" s="6" t="n">
        <v>0</v>
      </c>
      <c r="F32" s="7" t="n"/>
      <c r="G32" s="6">
        <f>IF(F32="","",F32-D32)</f>
        <v/>
      </c>
    </row>
    <row r="33">
      <c r="A33" s="6" t="inlineStr"/>
      <c r="B33" s="6" t="inlineStr">
        <is>
          <t>1149</t>
        </is>
      </c>
      <c r="C33" s="6" t="inlineStr">
        <is>
          <t>Platinum HydroWhey - Optimum Nutrition - Velocity Vanilla</t>
        </is>
      </c>
      <c r="D33" s="6" t="n">
        <v>2</v>
      </c>
      <c r="E33" s="6" t="n">
        <v>0</v>
      </c>
      <c r="F33" s="7" t="n"/>
      <c r="G33" s="6">
        <f>IF(F33="","",F33-D33)</f>
        <v/>
      </c>
    </row>
    <row r="34">
      <c r="A34" s="4" t="inlineStr">
        <is>
          <t>Isopure</t>
        </is>
      </c>
      <c r="B34" s="5" t="n"/>
      <c r="C34" s="5" t="n"/>
      <c r="D34" s="5" t="n"/>
      <c r="E34" s="5" t="n"/>
      <c r="F34" s="5" t="n"/>
      <c r="G34" s="5" t="n"/>
    </row>
    <row r="35">
      <c r="A35" s="6" t="inlineStr"/>
      <c r="B35" s="6" t="inlineStr">
        <is>
          <t>1634</t>
        </is>
      </c>
      <c r="C35" s="6" t="inlineStr">
        <is>
          <t>Isopure - Chocolate / 3 lb</t>
        </is>
      </c>
      <c r="D35" s="6" t="n">
        <v>0</v>
      </c>
      <c r="E35" s="6" t="n">
        <v>0</v>
      </c>
      <c r="F35" s="7" t="n"/>
      <c r="G35" s="6">
        <f>IF(F35="","",F35-D35)</f>
        <v/>
      </c>
    </row>
    <row r="36">
      <c r="A36" s="6" t="inlineStr"/>
      <c r="B36" s="6" t="inlineStr">
        <is>
          <t>1632</t>
        </is>
      </c>
      <c r="C36" s="6" t="inlineStr">
        <is>
          <t>Isopure - Chocolate Peanut Butter / 3 lb</t>
        </is>
      </c>
      <c r="D36" s="6" t="n">
        <v>5</v>
      </c>
      <c r="E36" s="6" t="n">
        <v>0</v>
      </c>
      <c r="F36" s="7" t="n"/>
      <c r="G36" s="6">
        <f>IF(F36="","",F36-D36)</f>
        <v/>
      </c>
    </row>
    <row r="37">
      <c r="A37" s="6" t="inlineStr"/>
      <c r="B37" s="6" t="inlineStr">
        <is>
          <t>1218</t>
        </is>
      </c>
      <c r="C37" s="6" t="inlineStr">
        <is>
          <t>ISOPURE - VANILLA / 4.5 LB</t>
        </is>
      </c>
      <c r="D37" s="6" t="n">
        <v>0</v>
      </c>
      <c r="E37" s="6" t="n">
        <v>0</v>
      </c>
      <c r="F37" s="7" t="n"/>
      <c r="G37" s="6">
        <f>IF(F37="","",F37-D37)</f>
        <v/>
      </c>
    </row>
    <row r="38">
      <c r="A38" s="6" t="inlineStr"/>
      <c r="B38" s="6" t="inlineStr">
        <is>
          <t>1633</t>
        </is>
      </c>
      <c r="C38" s="6" t="inlineStr">
        <is>
          <t>Isopure - Vanilla Salted Caramel / 3 lb</t>
        </is>
      </c>
      <c r="D38" s="6" t="n">
        <v>2</v>
      </c>
      <c r="E38" s="6" t="n">
        <v>0</v>
      </c>
      <c r="F38" s="7" t="n"/>
      <c r="G38" s="6">
        <f>IF(F38="","",F38-D38)</f>
        <v/>
      </c>
    </row>
    <row r="39">
      <c r="A39" s="6" t="inlineStr"/>
      <c r="B39" s="6" t="inlineStr">
        <is>
          <t>1173</t>
        </is>
      </c>
      <c r="C39" s="6" t="inlineStr">
        <is>
          <t>Isopure Low Carb - Dutch Chocolate / 3 lb</t>
        </is>
      </c>
      <c r="D39" s="6" t="n">
        <v>0</v>
      </c>
      <c r="E39" s="6" t="n">
        <v>0</v>
      </c>
      <c r="F39" s="7" t="n"/>
      <c r="G39" s="6">
        <f>IF(F39="","",F39-D39)</f>
        <v/>
      </c>
    </row>
    <row r="40">
      <c r="A40" s="6" t="inlineStr"/>
      <c r="B40" s="6" t="inlineStr">
        <is>
          <t>1171</t>
        </is>
      </c>
      <c r="C40" s="6" t="inlineStr">
        <is>
          <t>Isopure Low Carb - Dutch Chocolate / 4.5 lb</t>
        </is>
      </c>
      <c r="D40" s="6" t="n">
        <v>1</v>
      </c>
      <c r="E40" s="6" t="n">
        <v>0</v>
      </c>
      <c r="F40" s="7" t="n"/>
      <c r="G40" s="6">
        <f>IF(F40="","",F40-D40)</f>
        <v/>
      </c>
    </row>
    <row r="41">
      <c r="A41" s="6" t="inlineStr"/>
      <c r="B41" s="6" t="inlineStr">
        <is>
          <t>1156</t>
        </is>
      </c>
      <c r="C41" s="6" t="inlineStr">
        <is>
          <t>Isopure Zero Carb - Banana Cream / 3 lb</t>
        </is>
      </c>
      <c r="D41" s="6" t="n">
        <v>2</v>
      </c>
      <c r="E41" s="6" t="n">
        <v>0</v>
      </c>
      <c r="F41" s="7" t="n"/>
      <c r="G41" s="6">
        <f>IF(F41="","",F41-D41)</f>
        <v/>
      </c>
    </row>
    <row r="42">
      <c r="A42" s="6" t="inlineStr"/>
      <c r="B42" s="6" t="inlineStr">
        <is>
          <t>1157</t>
        </is>
      </c>
      <c r="C42" s="6" t="inlineStr">
        <is>
          <t>Isopure Zero Carb - Cookies &amp; Cream / 3 lb</t>
        </is>
      </c>
      <c r="D42" s="6" t="n">
        <v>0</v>
      </c>
      <c r="E42" s="6" t="n">
        <v>0</v>
      </c>
      <c r="F42" s="7" t="n"/>
      <c r="G42" s="6">
        <f>IF(F42="","",F42-D42)</f>
        <v/>
      </c>
    </row>
    <row r="43">
      <c r="A43" s="6" t="inlineStr"/>
      <c r="B43" s="6" t="inlineStr">
        <is>
          <t>1174</t>
        </is>
      </c>
      <c r="C43" s="6" t="inlineStr">
        <is>
          <t>Isopure Zero Carb - Creamy Vanilla / 1 lb</t>
        </is>
      </c>
      <c r="D43" s="6" t="n">
        <v>12</v>
      </c>
      <c r="E43" s="6" t="n">
        <v>0</v>
      </c>
      <c r="F43" s="7" t="n"/>
      <c r="G43" s="6">
        <f>IF(F43="","",F43-D43)</f>
        <v/>
      </c>
    </row>
    <row r="44">
      <c r="A44" s="6" t="inlineStr"/>
      <c r="B44" s="6" t="inlineStr">
        <is>
          <t>1172</t>
        </is>
      </c>
      <c r="C44" s="6" t="inlineStr">
        <is>
          <t>Isopure Zero Carb - Creamy Vanilla / 3 lb</t>
        </is>
      </c>
      <c r="D44" s="6" t="n">
        <v>21</v>
      </c>
      <c r="E44" s="6" t="n">
        <v>0</v>
      </c>
      <c r="F44" s="7" t="n"/>
      <c r="G44" s="6">
        <f>IF(F44="","",F44-D44)</f>
        <v/>
      </c>
    </row>
    <row r="45">
      <c r="A45" s="6" t="inlineStr"/>
      <c r="B45" s="6" t="inlineStr">
        <is>
          <t>1213</t>
        </is>
      </c>
      <c r="C45" s="6" t="inlineStr">
        <is>
          <t>Isopure Zero Carb - Creamy Vanilla / bolsa 16.4 oz (1.02 lb)</t>
        </is>
      </c>
      <c r="D45" s="6" t="n">
        <v>5</v>
      </c>
      <c r="E45" s="6" t="n">
        <v>0</v>
      </c>
      <c r="F45" s="7" t="n"/>
      <c r="G45" s="6">
        <f>IF(F45="","",F45-D45)</f>
        <v/>
      </c>
    </row>
    <row r="46">
      <c r="A46" s="4" t="inlineStr">
        <is>
          <t>Mass Gainer</t>
        </is>
      </c>
      <c r="B46" s="5" t="n"/>
      <c r="C46" s="5" t="n"/>
      <c r="D46" s="5" t="n"/>
      <c r="E46" s="5" t="n"/>
      <c r="F46" s="5" t="n"/>
      <c r="G46" s="5" t="n"/>
    </row>
    <row r="47">
      <c r="A47" s="6" t="inlineStr"/>
      <c r="B47" s="6" t="inlineStr">
        <is>
          <t>1187</t>
        </is>
      </c>
      <c r="C47" s="6" t="inlineStr">
        <is>
          <t>100% Mass Gainer - MuscleTech - Chocolate Fudge Brownie / 5.15 lb</t>
        </is>
      </c>
      <c r="D47" s="6" t="n">
        <v>2</v>
      </c>
      <c r="E47" s="6" t="n">
        <v>0</v>
      </c>
      <c r="F47" s="7" t="n"/>
      <c r="G47" s="6">
        <f>IF(F47="","",F47-D47)</f>
        <v/>
      </c>
    </row>
    <row r="48">
      <c r="A48" s="6" t="inlineStr"/>
      <c r="B48" s="6" t="inlineStr">
        <is>
          <t>1186</t>
        </is>
      </c>
      <c r="C48" s="6" t="inlineStr">
        <is>
          <t>100% Mass Gainer - MuscleTech - Vanilla Milkshake / 5.15 lb</t>
        </is>
      </c>
      <c r="D48" s="6" t="n">
        <v>2</v>
      </c>
      <c r="E48" s="6" t="n">
        <v>0</v>
      </c>
      <c r="F48" s="7" t="n"/>
      <c r="G48" s="6">
        <f>IF(F48="","",F48-D48)</f>
        <v/>
      </c>
    </row>
    <row r="49">
      <c r="A49" s="6" t="inlineStr"/>
      <c r="B49" s="6" t="inlineStr">
        <is>
          <t>1189</t>
        </is>
      </c>
      <c r="C49" s="6" t="inlineStr">
        <is>
          <t>Mass-Tech Extreme - MuscleTech - Vanilla / 6 lb</t>
        </is>
      </c>
      <c r="D49" s="6" t="n">
        <v>5</v>
      </c>
      <c r="E49" s="6" t="n">
        <v>0</v>
      </c>
      <c r="F49" s="7" t="n"/>
      <c r="G49" s="6">
        <f>IF(F49="","",F49-D49)</f>
        <v/>
      </c>
    </row>
    <row r="50">
      <c r="A50" s="6" t="inlineStr"/>
      <c r="B50" s="6" t="inlineStr">
        <is>
          <t>1692</t>
        </is>
      </c>
      <c r="C50" s="6" t="inlineStr">
        <is>
          <t>Mutant Mass Extreme 2500 - Vanilla / 12 lb</t>
        </is>
      </c>
      <c r="D50" s="6" t="n">
        <v>12</v>
      </c>
      <c r="E50" s="6" t="n">
        <v>0</v>
      </c>
      <c r="F50" s="7" t="n"/>
      <c r="G50" s="6">
        <f>IF(F50="","",F50-D50)</f>
        <v/>
      </c>
    </row>
    <row r="51">
      <c r="A51" s="6" t="inlineStr"/>
      <c r="B51" s="6" t="inlineStr">
        <is>
          <t>1190</t>
        </is>
      </c>
      <c r="C51" s="6" t="inlineStr">
        <is>
          <t>Mutant Mass Extreme 2500 - Vanilla / 6 lb</t>
        </is>
      </c>
      <c r="D51" s="6" t="n">
        <v>0</v>
      </c>
      <c r="E51" s="6" t="n">
        <v>0</v>
      </c>
      <c r="F51" s="7" t="n"/>
      <c r="G51" s="6">
        <f>IF(F51="","",F51-D51)</f>
        <v/>
      </c>
    </row>
    <row r="52">
      <c r="A52" s="6" t="inlineStr"/>
      <c r="B52" s="6" t="inlineStr">
        <is>
          <t>1207</t>
        </is>
      </c>
      <c r="C52" s="6" t="inlineStr">
        <is>
          <t>Serious Mass - Optimum Nutrition - Chocolate / 4 lb</t>
        </is>
      </c>
      <c r="D52" s="6" t="n">
        <v>0</v>
      </c>
      <c r="E52" s="6" t="n">
        <v>0</v>
      </c>
      <c r="F52" s="7" t="n"/>
      <c r="G52" s="6">
        <f>IF(F52="","",F52-D52)</f>
        <v/>
      </c>
    </row>
    <row r="53">
      <c r="A53" s="6" t="inlineStr"/>
      <c r="B53" s="6" t="inlineStr">
        <is>
          <t>1641</t>
        </is>
      </c>
      <c r="C53" s="6" t="inlineStr">
        <is>
          <t>Serious Mass - Optimum Nutrition - Chocolate / 6 lb</t>
        </is>
      </c>
      <c r="D53" s="6" t="n">
        <v>3</v>
      </c>
      <c r="E53" s="6" t="n">
        <v>0</v>
      </c>
      <c r="F53" s="7" t="n"/>
      <c r="G53" s="6">
        <f>IF(F53="","",F53-D53)</f>
        <v/>
      </c>
    </row>
    <row r="54">
      <c r="A54" s="6" t="inlineStr"/>
      <c r="B54" s="6" t="inlineStr">
        <is>
          <t>1642</t>
        </is>
      </c>
      <c r="C54" s="6" t="inlineStr">
        <is>
          <t>Serious Mass - Optimum Nutrition - Chocolate Peanut Butter / 6 lb</t>
        </is>
      </c>
      <c r="D54" s="6" t="n">
        <v>1</v>
      </c>
      <c r="E54" s="6" t="n">
        <v>0</v>
      </c>
      <c r="F54" s="7" t="n"/>
      <c r="G54" s="6">
        <f>IF(F54="","",F54-D54)</f>
        <v/>
      </c>
    </row>
    <row r="55">
      <c r="A55" s="6" t="inlineStr"/>
      <c r="B55" s="6" t="inlineStr">
        <is>
          <t>1206</t>
        </is>
      </c>
      <c r="C55" s="6" t="inlineStr">
        <is>
          <t>Serious Mass - Optimum Nutrition - Vanilla / 4 lb</t>
        </is>
      </c>
      <c r="D55" s="6" t="n">
        <v>0</v>
      </c>
      <c r="E55" s="6" t="n">
        <v>0</v>
      </c>
      <c r="F55" s="7" t="n"/>
      <c r="G55" s="6">
        <f>IF(F55="","",F55-D55)</f>
        <v/>
      </c>
    </row>
    <row r="56">
      <c r="A56" s="6" t="inlineStr"/>
      <c r="B56" s="6" t="inlineStr">
        <is>
          <t>1188</t>
        </is>
      </c>
      <c r="C56" s="6" t="inlineStr">
        <is>
          <t>Serious Mass - Optimum Nutrition - Vanilla / 6 lb</t>
        </is>
      </c>
      <c r="D56" s="6" t="n">
        <v>8</v>
      </c>
      <c r="E56" s="6" t="n">
        <v>0</v>
      </c>
      <c r="F56" s="7" t="n"/>
      <c r="G56" s="6">
        <f>IF(F56="","",F56-D56)</f>
        <v/>
      </c>
    </row>
    <row r="57">
      <c r="A57" s="6" t="inlineStr"/>
      <c r="B57" s="6" t="inlineStr">
        <is>
          <t>1185</t>
        </is>
      </c>
      <c r="C57" s="6" t="inlineStr">
        <is>
          <t>Super Mass Gainer - Dymatize - Gourmet Vanilla / 6 lb</t>
        </is>
      </c>
      <c r="D57" s="6" t="n">
        <v>3</v>
      </c>
      <c r="E57" s="6" t="n">
        <v>0</v>
      </c>
      <c r="F57" s="7" t="n"/>
      <c r="G57" s="6">
        <f>IF(F57="","",F57-D57)</f>
        <v/>
      </c>
    </row>
    <row r="58">
      <c r="A58" s="6" t="inlineStr"/>
      <c r="B58" s="6" t="inlineStr">
        <is>
          <t>1184</t>
        </is>
      </c>
      <c r="C58" s="6" t="inlineStr">
        <is>
          <t>Super Mass Gainer - Dymatize - Rich Chocolate / 6 lb</t>
        </is>
      </c>
      <c r="D58" s="6" t="n">
        <v>1</v>
      </c>
      <c r="E58" s="6" t="n">
        <v>0</v>
      </c>
      <c r="F58" s="7" t="n"/>
      <c r="G58" s="6">
        <f>IF(F58="","",F58-D58)</f>
        <v/>
      </c>
    </row>
    <row r="59">
      <c r="A59" s="4" t="inlineStr">
        <is>
          <t>Carnivor (MuscleMeds)</t>
        </is>
      </c>
      <c r="B59" s="5" t="n"/>
      <c r="C59" s="5" t="n"/>
      <c r="D59" s="5" t="n"/>
      <c r="E59" s="5" t="n"/>
      <c r="F59" s="5" t="n"/>
      <c r="G59" s="5" t="n"/>
    </row>
    <row r="60">
      <c r="A60" s="6" t="inlineStr"/>
      <c r="B60" s="6" t="inlineStr">
        <is>
          <t>1182</t>
        </is>
      </c>
      <c r="C60" s="6" t="inlineStr">
        <is>
          <t>Carnivor Mass - MuscleMeds - Chocolate Fudge / 5.83 lb</t>
        </is>
      </c>
      <c r="D60" s="6" t="n">
        <v>4</v>
      </c>
      <c r="E60" s="6" t="n">
        <v>0</v>
      </c>
      <c r="F60" s="7" t="n"/>
      <c r="G60" s="6">
        <f>IF(F60="","",F60-D60)</f>
        <v/>
      </c>
    </row>
    <row r="61">
      <c r="A61" s="6" t="inlineStr"/>
      <c r="B61" s="6" t="inlineStr">
        <is>
          <t>1183</t>
        </is>
      </c>
      <c r="C61" s="6" t="inlineStr">
        <is>
          <t>Carnivor Mass - MuscleMeds - Vanilla Caramel / 5.83 lb</t>
        </is>
      </c>
      <c r="D61" s="6" t="n">
        <v>3</v>
      </c>
      <c r="E61" s="6" t="n">
        <v>0</v>
      </c>
      <c r="F61" s="7" t="n"/>
      <c r="G61" s="6">
        <f>IF(F61="","",F61-D61)</f>
        <v/>
      </c>
    </row>
    <row r="62">
      <c r="A62" s="6" t="inlineStr"/>
      <c r="B62" s="6" t="inlineStr">
        <is>
          <t>1199</t>
        </is>
      </c>
      <c r="C62" s="6" t="inlineStr">
        <is>
          <t>Carnivor Shred - MuscleMeds - Vanilla Caramel / 2 lb</t>
        </is>
      </c>
      <c r="D62" s="6" t="n">
        <v>1</v>
      </c>
      <c r="E62" s="6" t="n">
        <v>0</v>
      </c>
      <c r="F62" s="7" t="n"/>
      <c r="G62" s="6">
        <f>IF(F62="","",F62-D62)</f>
        <v/>
      </c>
    </row>
    <row r="63">
      <c r="A63" s="6" t="inlineStr"/>
      <c r="B63" s="6" t="inlineStr">
        <is>
          <t>1200</t>
        </is>
      </c>
      <c r="C63" s="6" t="inlineStr">
        <is>
          <t>Carnivor Shred - MuscleMeds - Vanilla Caramel / 3.8 lb</t>
        </is>
      </c>
      <c r="D63" s="6" t="n">
        <v>1</v>
      </c>
      <c r="E63" s="6" t="n">
        <v>0</v>
      </c>
      <c r="F63" s="7" t="n"/>
      <c r="G63" s="6">
        <f>IF(F63="","",F63-D63)</f>
        <v/>
      </c>
    </row>
    <row r="64">
      <c r="A64" s="4" t="inlineStr">
        <is>
          <t>Isoflex (Allmax)</t>
        </is>
      </c>
      <c r="B64" s="5" t="n"/>
      <c r="C64" s="5" t="n"/>
      <c r="D64" s="5" t="n"/>
      <c r="E64" s="5" t="n"/>
      <c r="F64" s="5" t="n"/>
      <c r="G64" s="5" t="n"/>
    </row>
    <row r="65">
      <c r="A65" s="6" t="inlineStr"/>
      <c r="B65" s="6" t="inlineStr">
        <is>
          <t>1192</t>
        </is>
      </c>
      <c r="C65" s="6" t="inlineStr">
        <is>
          <t>Isoflex - ALLMAX - Chocolate / 2 lb</t>
        </is>
      </c>
      <c r="D65" s="6" t="n">
        <v>0</v>
      </c>
      <c r="E65" s="6" t="n">
        <v>0</v>
      </c>
      <c r="F65" s="7" t="n"/>
      <c r="G65" s="6">
        <f>IF(F65="","",F65-D65)</f>
        <v/>
      </c>
    </row>
    <row r="66">
      <c r="A66" s="6" t="inlineStr"/>
      <c r="B66" s="6" t="inlineStr">
        <is>
          <t>1193</t>
        </is>
      </c>
      <c r="C66" s="6" t="inlineStr">
        <is>
          <t>Isoflex - ALLMAX - Chocolate / 5 lb</t>
        </is>
      </c>
      <c r="D66" s="6" t="n">
        <v>1</v>
      </c>
      <c r="E66" s="6" t="n">
        <v>0</v>
      </c>
      <c r="F66" s="7" t="n"/>
      <c r="G66" s="6">
        <f>IF(F66="","",F66-D66)</f>
        <v/>
      </c>
    </row>
    <row r="67">
      <c r="A67" s="6" t="inlineStr"/>
      <c r="B67" s="6" t="inlineStr">
        <is>
          <t>1191</t>
        </is>
      </c>
      <c r="C67" s="6" t="inlineStr">
        <is>
          <t>Isoflex - ALLMAX - Vanilla / 2 lb</t>
        </is>
      </c>
      <c r="D67" s="6" t="n">
        <v>11</v>
      </c>
      <c r="E67" s="6" t="n">
        <v>0</v>
      </c>
      <c r="F67" s="7" t="n"/>
      <c r="G67" s="6">
        <f>IF(F67="","",F67-D67)</f>
        <v/>
      </c>
    </row>
    <row r="68">
      <c r="A68" s="6" t="inlineStr"/>
      <c r="B68" s="6" t="inlineStr">
        <is>
          <t>1208</t>
        </is>
      </c>
      <c r="C68" s="6" t="inlineStr">
        <is>
          <t>Isoflex - ALLMAX - Vanilla / 5 lb</t>
        </is>
      </c>
      <c r="D68" s="6" t="n">
        <v>3</v>
      </c>
      <c r="E68" s="6" t="n">
        <v>0</v>
      </c>
      <c r="F68" s="7" t="n"/>
      <c r="G68" s="6">
        <f>IF(F68="","",F68-D68)</f>
        <v/>
      </c>
    </row>
    <row r="69">
      <c r="A69" s="4" t="inlineStr">
        <is>
          <t>Nitro-Tech / Nitro</t>
        </is>
      </c>
      <c r="B69" s="5" t="n"/>
      <c r="C69" s="5" t="n"/>
      <c r="D69" s="5" t="n"/>
      <c r="E69" s="5" t="n"/>
      <c r="F69" s="5" t="n"/>
      <c r="G69" s="5" t="n"/>
    </row>
    <row r="70">
      <c r="A70" s="6" t="inlineStr"/>
      <c r="B70" s="6" t="inlineStr">
        <is>
          <t>1219</t>
        </is>
      </c>
      <c r="C70" s="6" t="inlineStr">
        <is>
          <t>NITRO WHEY PROTEIN - VANILLA / 4 LB</t>
        </is>
      </c>
      <c r="D70" s="6" t="n">
        <v>0</v>
      </c>
      <c r="E70" s="6" t="n">
        <v>0</v>
      </c>
      <c r="F70" s="7" t="n"/>
      <c r="G70" s="6">
        <f>IF(F70="","",F70-D70)</f>
        <v/>
      </c>
    </row>
    <row r="71">
      <c r="A71" s="6" t="inlineStr"/>
      <c r="B71" s="6" t="inlineStr">
        <is>
          <t>1195</t>
        </is>
      </c>
      <c r="C71" s="6" t="inlineStr">
        <is>
          <t>Nitro-Tech - MuscleTech - Cookies &amp; Cream / 4 lb</t>
        </is>
      </c>
      <c r="D71" s="6" t="n">
        <v>1</v>
      </c>
      <c r="E71" s="6" t="n">
        <v>0</v>
      </c>
      <c r="F71" s="7" t="n"/>
      <c r="G71" s="6">
        <f>IF(F71="","",F71-D71)</f>
        <v/>
      </c>
    </row>
    <row r="72">
      <c r="A72" s="6" t="inlineStr"/>
      <c r="B72" s="6" t="inlineStr">
        <is>
          <t>1630</t>
        </is>
      </c>
      <c r="C72" s="6" t="inlineStr">
        <is>
          <t>Nitro-Tech - RIPPED - CHOCOLATE FUDGE / 4 lb</t>
        </is>
      </c>
      <c r="D72" s="6" t="n">
        <v>0</v>
      </c>
      <c r="E72" s="6" t="n">
        <v>0</v>
      </c>
      <c r="F72" s="7" t="n"/>
      <c r="G72" s="6">
        <f>IF(F72="","",F72-D72)</f>
        <v/>
      </c>
    </row>
    <row r="73">
      <c r="A73" s="6" t="inlineStr"/>
      <c r="B73" s="6" t="inlineStr">
        <is>
          <t>1933</t>
        </is>
      </c>
      <c r="C73" s="6" t="inlineStr">
        <is>
          <t>Nitro-Tech - RIPPED - VANILLA CREAM / 4 lb</t>
        </is>
      </c>
      <c r="D73" s="6" t="n">
        <v>1</v>
      </c>
      <c r="E73" s="6" t="n">
        <v>0</v>
      </c>
      <c r="F73" s="7" t="n"/>
      <c r="G73" s="6">
        <f>IF(F73="","",F73-D73)</f>
        <v/>
      </c>
    </row>
    <row r="74">
      <c r="A74" s="6" t="inlineStr"/>
      <c r="B74" s="6" t="inlineStr">
        <is>
          <t>1217</t>
        </is>
      </c>
      <c r="C74" s="6" t="inlineStr">
        <is>
          <t>NITRO-TECH WHEY GOLD - MUSCLETECH - COOKIES &amp; CREAM / 2 LB</t>
        </is>
      </c>
      <c r="D74" s="6" t="n">
        <v>0</v>
      </c>
      <c r="E74" s="6" t="n">
        <v>0</v>
      </c>
      <c r="F74" s="7" t="n"/>
      <c r="G74" s="6">
        <f>IF(F74="","",F74-D74)</f>
        <v/>
      </c>
    </row>
    <row r="75">
      <c r="A75" s="6" t="inlineStr"/>
      <c r="B75" s="6" t="inlineStr">
        <is>
          <t>1196</t>
        </is>
      </c>
      <c r="C75" s="6" t="inlineStr">
        <is>
          <t>Nitro-Tech Whey Gold - MuscleTech - Vanilla Cream / 2 lb</t>
        </is>
      </c>
      <c r="D75" s="6" t="n">
        <v>8</v>
      </c>
      <c r="E75" s="6" t="n">
        <v>0</v>
      </c>
      <c r="F75" s="7" t="n"/>
      <c r="G75" s="6">
        <f>IF(F75="","",F75-D75)</f>
        <v/>
      </c>
    </row>
    <row r="76">
      <c r="A76" s="6" t="inlineStr"/>
      <c r="B76" s="6" t="inlineStr">
        <is>
          <t>1197</t>
        </is>
      </c>
      <c r="C76" s="6" t="inlineStr">
        <is>
          <t>Nitro-Tech Whey Gold - MuscleTech - Vanilla Cream / 5 lb</t>
        </is>
      </c>
      <c r="D76" s="6" t="n">
        <v>6</v>
      </c>
      <c r="E76" s="6" t="n">
        <v>0</v>
      </c>
      <c r="F76" s="7" t="n"/>
      <c r="G76" s="6">
        <f>IF(F76="","",F76-D76)</f>
        <v/>
      </c>
    </row>
    <row r="77">
      <c r="A77" s="4" t="inlineStr">
        <is>
          <t>Otras proteínas</t>
        </is>
      </c>
      <c r="B77" s="5" t="n"/>
      <c r="C77" s="5" t="n"/>
      <c r="D77" s="5" t="n"/>
      <c r="E77" s="5" t="n"/>
      <c r="F77" s="5" t="n"/>
      <c r="G77" s="5" t="n"/>
    </row>
    <row r="78">
      <c r="A78" s="6" t="inlineStr"/>
      <c r="B78" s="6" t="inlineStr">
        <is>
          <t>1198</t>
        </is>
      </c>
      <c r="C78" s="6" t="inlineStr">
        <is>
          <t>Animal 100% Whey Protein - Vanilla</t>
        </is>
      </c>
      <c r="D78" s="6" t="n">
        <v>2</v>
      </c>
      <c r="E78" s="6" t="n">
        <v>0</v>
      </c>
      <c r="F78" s="7" t="n"/>
      <c r="G78" s="6">
        <f>IF(F78="","",F78-D78)</f>
        <v/>
      </c>
    </row>
    <row r="79">
      <c r="A79" s="6" t="inlineStr"/>
      <c r="B79" s="6" t="inlineStr">
        <is>
          <t>1155</t>
        </is>
      </c>
      <c r="C79" s="6" t="inlineStr">
        <is>
          <t>Animal Isolate Loaded Whey Protein - Vanilla / 4 lb</t>
        </is>
      </c>
      <c r="D79" s="6" t="n">
        <v>0</v>
      </c>
      <c r="E79" s="6" t="n">
        <v>0</v>
      </c>
      <c r="F79" s="7" t="n"/>
      <c r="G79" s="6">
        <f>IF(F79="","",F79-D79)</f>
        <v/>
      </c>
    </row>
    <row r="80">
      <c r="A80" s="6" t="inlineStr"/>
      <c r="B80" s="6" t="inlineStr">
        <is>
          <t>1639</t>
        </is>
      </c>
      <c r="C80" s="6" t="inlineStr">
        <is>
          <t>Grass Fed Whey Protein - Levels</t>
        </is>
      </c>
      <c r="D80" s="6" t="n">
        <v>1</v>
      </c>
      <c r="E80" s="6" t="n">
        <v>0</v>
      </c>
      <c r="F80" s="7" t="n"/>
      <c r="G80" s="6">
        <f>IF(F80="","",F80-D80)</f>
        <v/>
      </c>
    </row>
    <row r="81">
      <c r="A81" s="6" t="inlineStr"/>
      <c r="B81" s="6" t="inlineStr">
        <is>
          <t>1151</t>
        </is>
      </c>
      <c r="C81" s="6" t="inlineStr">
        <is>
          <t>IsoFit Protein - Nutrex - Vanilla Bean Ice Cream / 30 servicios</t>
        </is>
      </c>
      <c r="D81" s="6" t="n">
        <v>0</v>
      </c>
      <c r="E81" s="6" t="n">
        <v>0</v>
      </c>
      <c r="F81" s="7" t="n"/>
      <c r="G81" s="6">
        <f>IF(F81="","",F81-D81)</f>
        <v/>
      </c>
    </row>
    <row r="82">
      <c r="A82" s="6" t="inlineStr"/>
      <c r="B82" s="6" t="inlineStr">
        <is>
          <t>1194</t>
        </is>
      </c>
      <c r="C82" s="6" t="inlineStr">
        <is>
          <t>IsoWhey - MuscleTech - Vanilla / 5 lb</t>
        </is>
      </c>
      <c r="D82" s="6" t="n">
        <v>1</v>
      </c>
      <c r="E82" s="6" t="n">
        <v>0</v>
      </c>
      <c r="F82" s="7" t="n"/>
      <c r="G82" s="6">
        <f>IF(F82="","",F82-D82)</f>
        <v/>
      </c>
    </row>
    <row r="83">
      <c r="A83" s="6" t="inlineStr"/>
      <c r="B83" s="6" t="inlineStr">
        <is>
          <t>1124</t>
        </is>
      </c>
      <c r="C83" s="6" t="inlineStr">
        <is>
          <t>Klean Isolate - Klean Athlete - Natural Vanilla / 516 g</t>
        </is>
      </c>
      <c r="D83" s="6" t="n">
        <v>1</v>
      </c>
      <c r="E83" s="6" t="n">
        <v>0</v>
      </c>
      <c r="F83" s="7" t="n"/>
      <c r="G83" s="6">
        <f>IF(F83="","",F83-D83)</f>
        <v/>
      </c>
    </row>
    <row r="84">
      <c r="A84" s="6" t="inlineStr"/>
      <c r="B84" s="6" t="inlineStr">
        <is>
          <t>1201</t>
        </is>
      </c>
      <c r="C84" s="6" t="inlineStr">
        <is>
          <t>Muscle Milk Genuine - Cookies &amp; Crème / 30.9 oz (875 g)</t>
        </is>
      </c>
      <c r="D84" s="6" t="n">
        <v>2</v>
      </c>
      <c r="E84" s="6" t="n">
        <v>0</v>
      </c>
      <c r="F84" s="7" t="n"/>
      <c r="G84" s="6">
        <f>IF(F84="","",F84-D84)</f>
        <v/>
      </c>
    </row>
    <row r="85">
      <c r="A85" s="6" t="inlineStr"/>
      <c r="B85" s="6" t="inlineStr">
        <is>
          <t>1635</t>
        </is>
      </c>
      <c r="C85" s="6" t="inlineStr">
        <is>
          <t>Muscle Milk Pro Series - Chocolate / 5 lb</t>
        </is>
      </c>
      <c r="D85" s="6" t="n">
        <v>1</v>
      </c>
      <c r="E85" s="6" t="n">
        <v>0</v>
      </c>
      <c r="F85" s="7" t="n"/>
      <c r="G85" s="6">
        <f>IF(F85="","",F85-D85)</f>
        <v/>
      </c>
    </row>
    <row r="86">
      <c r="A86" s="6" t="inlineStr"/>
      <c r="B86" s="6" t="inlineStr">
        <is>
          <t>1202</t>
        </is>
      </c>
      <c r="C86" s="6" t="inlineStr">
        <is>
          <t>Muscle Milk Pro Series - Vanilla / 32 oz (2 lb)</t>
        </is>
      </c>
      <c r="D86" s="6" t="n">
        <v>0</v>
      </c>
      <c r="E86" s="6" t="n">
        <v>0</v>
      </c>
      <c r="F86" s="7" t="n"/>
      <c r="G86" s="6">
        <f>IF(F86="","",F86-D86)</f>
        <v/>
      </c>
    </row>
    <row r="87">
      <c r="A87" s="6" t="inlineStr"/>
      <c r="B87" s="6" t="inlineStr">
        <is>
          <t>1220</t>
        </is>
      </c>
      <c r="C87" s="6" t="inlineStr">
        <is>
          <t>MUSCLE MILK PRO SERIES - VANILLA / 5 LB</t>
        </is>
      </c>
      <c r="D87" s="6" t="n">
        <v>1</v>
      </c>
      <c r="E87" s="6" t="n">
        <v>0</v>
      </c>
      <c r="F87" s="7" t="n"/>
      <c r="G87" s="6">
        <f>IF(F87="","",F87-D87)</f>
        <v/>
      </c>
    </row>
    <row r="88">
      <c r="A88" s="6" t="inlineStr"/>
      <c r="B88" s="6" t="inlineStr">
        <is>
          <t>1638</t>
        </is>
      </c>
      <c r="C88" s="6" t="inlineStr">
        <is>
          <t>Natural Whey Protein - Pro Performance Nutrition - Salted Caramel</t>
        </is>
      </c>
      <c r="D88" s="6" t="n">
        <v>2</v>
      </c>
      <c r="E88" s="6" t="n">
        <v>0</v>
      </c>
      <c r="F88" s="7" t="n"/>
      <c r="G88" s="6">
        <f>IF(F88="","",F88-D88)</f>
        <v/>
      </c>
    </row>
    <row r="89">
      <c r="A89" s="6" t="inlineStr"/>
      <c r="B89" s="6" t="inlineStr">
        <is>
          <t>1175</t>
        </is>
      </c>
      <c r="C89" s="6" t="inlineStr">
        <is>
          <t>Vegan Protein - Alpha - Vanilla Milkshake</t>
        </is>
      </c>
      <c r="D89" s="6" t="n">
        <v>3</v>
      </c>
      <c r="E89" s="6" t="n">
        <v>0</v>
      </c>
      <c r="F89" s="7" t="n"/>
      <c r="G89" s="6">
        <f>IF(F89="","",F89-D89)</f>
        <v/>
      </c>
    </row>
    <row r="91">
      <c r="C91" s="8" t="inlineStr">
        <is>
          <t>TOTAL</t>
        </is>
      </c>
      <c r="D91" s="8">
        <f>SUM(D5:D89)</f>
        <v/>
      </c>
      <c r="F91" s="8">
        <f>SUM(F5:F89)</f>
        <v/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2026-10-20T00:42:04Z</dcterms:created>
  <dcterms:modified xmlns:dcterms="http://purl.org/dc/terms/" xmlns:xsi="http://www.w3.org/2001/XMLSchema-instance" xsi:type="dcterms:W3CDTF">2026-10-20T00:42:04Z</dcterms:modified>
</cp:coreProperties>
</file>